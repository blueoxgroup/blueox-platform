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jo\OneDrive\Desktop\20220401\"/>
    </mc:Choice>
  </mc:AlternateContent>
  <xr:revisionPtr revIDLastSave="0" documentId="8_{B985A6DC-2CF9-49A0-B221-BECE53D81596}" xr6:coauthVersionLast="47" xr6:coauthVersionMax="47" xr10:uidLastSave="{00000000-0000-0000-0000-000000000000}"/>
  <bookViews>
    <workbookView xWindow="-108" yWindow="-108" windowWidth="23256" windowHeight="12456" xr2:uid="{AFCF2C8B-03D5-4B0E-A3B4-75138F015CD0}"/>
  </bookViews>
  <sheets>
    <sheet name="Cover page" sheetId="1" r:id="rId1"/>
    <sheet name="Applications" sheetId="5" r:id="rId2"/>
    <sheet name="Letter of employment" sheetId="6" r:id="rId3"/>
    <sheet name="Mandatory Quarantine" sheetId="7" r:id="rId4"/>
    <sheet name="Confirmation of accommodation" sheetId="8" r:id="rId5"/>
  </sheets>
  <definedNames>
    <definedName name="_xlnm.Print_Area" localSheetId="1">Applications!$B$2:$AO$53</definedName>
    <definedName name="_xlnm.Print_Area" localSheetId="4">'Confirmation of accommodation'!$B$2:$AO$51</definedName>
    <definedName name="_xlnm.Print_Area" localSheetId="2">'Letter of employment'!$B$2:$AN$92</definedName>
    <definedName name="_xlnm.Print_Area" localSheetId="3">'Mandatory Quarantine'!$B$2:$AO$52</definedName>
    <definedName name="_xlnm.Print_Titles" localSheetId="2">'Letter of employment'!$2:$5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" i="7" l="1"/>
  <c r="E11" i="5"/>
  <c r="E11" i="7"/>
  <c r="E11" i="8"/>
  <c r="N20" i="8"/>
  <c r="L21" i="8"/>
  <c r="L21" i="7"/>
  <c r="G24" i="5"/>
  <c r="B26" i="5" s="1"/>
  <c r="Y35" i="8"/>
  <c r="Y37" i="5"/>
  <c r="P38" i="8"/>
  <c r="J37" i="8"/>
  <c r="K36" i="8"/>
  <c r="D32" i="8"/>
  <c r="M29" i="8"/>
  <c r="T30" i="8"/>
  <c r="W28" i="8"/>
  <c r="M22" i="8"/>
  <c r="AN16" i="8"/>
  <c r="AN15" i="8"/>
  <c r="E13" i="8"/>
  <c r="E12" i="8"/>
  <c r="E10" i="8"/>
  <c r="B9" i="8"/>
  <c r="B8" i="8"/>
  <c r="AG7" i="8"/>
  <c r="B7" i="8"/>
  <c r="Q48" i="7"/>
  <c r="U45" i="7"/>
  <c r="Q35" i="7"/>
  <c r="S32" i="7"/>
  <c r="M22" i="7"/>
  <c r="AN16" i="7"/>
  <c r="AN15" i="7"/>
  <c r="E13" i="7"/>
  <c r="E12" i="7"/>
  <c r="E10" i="7"/>
  <c r="B9" i="7"/>
  <c r="B8" i="7"/>
  <c r="AG7" i="7"/>
  <c r="B7" i="7"/>
  <c r="AE69" i="6"/>
  <c r="C69" i="6"/>
  <c r="N52" i="6"/>
  <c r="N40" i="6"/>
  <c r="Z9" i="6"/>
  <c r="C22" i="6"/>
  <c r="K12" i="6"/>
  <c r="E15" i="6"/>
  <c r="F14" i="6"/>
  <c r="E13" i="6"/>
  <c r="C12" i="6"/>
  <c r="C11" i="6"/>
  <c r="AD23" i="5"/>
  <c r="B8" i="5"/>
  <c r="AN16" i="5"/>
  <c r="AN15" i="5"/>
  <c r="AG7" i="5"/>
  <c r="E13" i="5"/>
  <c r="AC43" i="5"/>
  <c r="Q43" i="5"/>
  <c r="B43" i="5"/>
  <c r="H42" i="5"/>
  <c r="F40" i="5"/>
  <c r="B38" i="5"/>
  <c r="B29" i="5"/>
  <c r="AD29" i="5"/>
  <c r="R29" i="5"/>
  <c r="D28" i="5"/>
  <c r="E12" i="5" l="1"/>
  <c r="E10" i="5"/>
  <c r="B9" i="5"/>
  <c r="B7" i="5"/>
</calcChain>
</file>

<file path=xl/sharedStrings.xml><?xml version="1.0" encoding="utf-8"?>
<sst xmlns="http://schemas.openxmlformats.org/spreadsheetml/2006/main" count="180" uniqueCount="153">
  <si>
    <t>INFORMATION ON VISA CANDIDATES APPLICATIONS FOR EMPLOYMENT</t>
    <phoneticPr fontId="1" type="noConversion"/>
  </si>
  <si>
    <t>Sincerely</t>
  </si>
  <si>
    <t>Z Wyrazami Szacunku</t>
  </si>
  <si>
    <t>is required on our part, please feel free to contact me.</t>
    <phoneticPr fontId="1" type="noConversion"/>
  </si>
  <si>
    <t>I kindly request your positive visa decision for the above mentioned person, if any additional information</t>
  </si>
  <si>
    <t>Company name</t>
    <phoneticPr fontId="1" type="noConversion"/>
  </si>
  <si>
    <t>ILNEDA sp.z o.o.</t>
    <phoneticPr fontId="1" type="noConversion"/>
  </si>
  <si>
    <t>Company address</t>
    <phoneticPr fontId="1" type="noConversion"/>
  </si>
  <si>
    <t>KRS number</t>
    <phoneticPr fontId="1" type="noConversion"/>
  </si>
  <si>
    <t>REGON number</t>
    <phoneticPr fontId="1" type="noConversion"/>
  </si>
  <si>
    <t>NIP number</t>
    <phoneticPr fontId="1" type="noConversion"/>
  </si>
  <si>
    <t>631-269-93-90</t>
    <phoneticPr fontId="1" type="noConversion"/>
  </si>
  <si>
    <t>Member of the Board</t>
    <phoneticPr fontId="1" type="noConversion"/>
  </si>
  <si>
    <t>Juhyeong Jo</t>
    <phoneticPr fontId="1" type="noConversion"/>
  </si>
  <si>
    <t>Contact email</t>
    <phoneticPr fontId="1" type="noConversion"/>
  </si>
  <si>
    <t>ilneda@hutengroup.com</t>
    <phoneticPr fontId="1" type="noConversion"/>
  </si>
  <si>
    <t>Client name</t>
    <phoneticPr fontId="1" type="noConversion"/>
  </si>
  <si>
    <t>Workers name</t>
    <phoneticPr fontId="1" type="noConversion"/>
  </si>
  <si>
    <t>Passport No</t>
    <phoneticPr fontId="1" type="noConversion"/>
  </si>
  <si>
    <t>Nationality</t>
    <phoneticPr fontId="1" type="noConversion"/>
  </si>
  <si>
    <t>Position</t>
    <phoneticPr fontId="1" type="noConversion"/>
  </si>
  <si>
    <t>Ambacy name</t>
    <phoneticPr fontId="1" type="noConversion"/>
  </si>
  <si>
    <t>Work permit number</t>
    <phoneticPr fontId="1" type="noConversion"/>
  </si>
  <si>
    <t>Salary</t>
    <phoneticPr fontId="1" type="noConversion"/>
  </si>
  <si>
    <t>Accommodation address</t>
    <phoneticPr fontId="1" type="noConversion"/>
  </si>
  <si>
    <t>ul Nowa 5a/2, 55-080 Pietrzykowice</t>
    <phoneticPr fontId="1" type="noConversion"/>
  </si>
  <si>
    <t>Stanisława Dubois 36,</t>
    <phoneticPr fontId="1" type="noConversion"/>
  </si>
  <si>
    <t>44-100 Gliwice</t>
  </si>
  <si>
    <t>Item</t>
    <phoneticPr fontId="1" type="noConversion"/>
  </si>
  <si>
    <t>Description(EN)</t>
    <phoneticPr fontId="1" type="noConversion"/>
  </si>
  <si>
    <t>We confirm that in accordance with the documents sent, we guarantee the employees to work in our company on the</t>
    <phoneticPr fontId="1" type="noConversion"/>
  </si>
  <si>
    <t>with the contract sent to the candidate.</t>
    <phoneticPr fontId="1" type="noConversion"/>
  </si>
  <si>
    <t>NIP</t>
    <phoneticPr fontId="1" type="noConversion"/>
  </si>
  <si>
    <t>REGON</t>
    <phoneticPr fontId="1" type="noConversion"/>
  </si>
  <si>
    <t>KRS</t>
    <phoneticPr fontId="1" type="noConversion"/>
  </si>
  <si>
    <t>Tel</t>
    <phoneticPr fontId="1" type="noConversion"/>
  </si>
  <si>
    <t>918940</t>
    <phoneticPr fontId="1" type="noConversion"/>
  </si>
  <si>
    <t>389804151</t>
    <phoneticPr fontId="1" type="noConversion"/>
  </si>
  <si>
    <t>Contact person</t>
    <phoneticPr fontId="1" type="noConversion"/>
  </si>
  <si>
    <t>+48 575 835 862</t>
    <phoneticPr fontId="1" type="noConversion"/>
  </si>
  <si>
    <t>na stanowisku</t>
    <phoneticPr fontId="1" type="noConversion"/>
  </si>
  <si>
    <t>Dnia</t>
    <phoneticPr fontId="1" type="noConversion"/>
  </si>
  <si>
    <t>Work permit issue date</t>
    <phoneticPr fontId="1" type="noConversion"/>
  </si>
  <si>
    <t>date of Birth</t>
    <phoneticPr fontId="1" type="noConversion"/>
  </si>
  <si>
    <t>, as a full-time 160 hours per month on a contract of mandate basis.</t>
    <phoneticPr fontId="1" type="noConversion"/>
  </si>
  <si>
    <t>I would like to inform you that our company is interested in hiring citizens of</t>
    <phoneticPr fontId="1" type="noConversion"/>
  </si>
  <si>
    <t>for the position of</t>
  </si>
  <si>
    <t>position of</t>
    <phoneticPr fontId="1" type="noConversion"/>
  </si>
  <si>
    <t>the employee is provided with accommodation and transport in accordance</t>
    <phoneticPr fontId="1" type="noConversion"/>
  </si>
  <si>
    <t>On the day of the</t>
    <phoneticPr fontId="1" type="noConversion"/>
  </si>
  <si>
    <t>the West Pomeranian Voivode issued a work permit for :</t>
    <phoneticPr fontId="1" type="noConversion"/>
  </si>
  <si>
    <t>,date of birth;</t>
    <phoneticPr fontId="1" type="noConversion"/>
  </si>
  <si>
    <t>passport number;</t>
    <phoneticPr fontId="1" type="noConversion"/>
  </si>
  <si>
    <t>Peported date</t>
    <phoneticPr fontId="1" type="noConversion"/>
  </si>
  <si>
    <t>LG Electronics sp.z o.o.</t>
    <phoneticPr fontId="1" type="noConversion"/>
  </si>
  <si>
    <t>Packer</t>
    <phoneticPr fontId="1" type="noConversion"/>
  </si>
  <si>
    <t>LETTER OF EMPTOYMENT</t>
    <phoneticPr fontId="1" type="noConversion"/>
  </si>
  <si>
    <t>(hereinafter referred to as Employer)</t>
    <phoneticPr fontId="1" type="noConversion"/>
  </si>
  <si>
    <t>and</t>
    <phoneticPr fontId="1" type="noConversion"/>
  </si>
  <si>
    <t>(hereinafter referred to as Employee)</t>
  </si>
  <si>
    <t>This Letter of lntent to Contract of mandate is made and entered into, on the</t>
    <phoneticPr fontId="1" type="noConversion"/>
  </si>
  <si>
    <t>by the between;</t>
    <phoneticPr fontId="1" type="noConversion"/>
  </si>
  <si>
    <t>Period of Employment</t>
    <phoneticPr fontId="1" type="noConversion"/>
  </si>
  <si>
    <t>Working hours</t>
    <phoneticPr fontId="1" type="noConversion"/>
  </si>
  <si>
    <t>Accommodation</t>
    <phoneticPr fontId="1" type="noConversion"/>
  </si>
  <si>
    <t>Transportation</t>
    <phoneticPr fontId="1" type="noConversion"/>
  </si>
  <si>
    <t>Medical</t>
    <phoneticPr fontId="1" type="noConversion"/>
  </si>
  <si>
    <t>lnsurance</t>
    <phoneticPr fontId="1" type="noConversion"/>
  </si>
  <si>
    <t>Overtime</t>
    <phoneticPr fontId="1" type="noConversion"/>
  </si>
  <si>
    <t>Other terms and conditions</t>
    <phoneticPr fontId="1" type="noConversion"/>
  </si>
  <si>
    <t>12 months, Renewable</t>
    <phoneticPr fontId="1" type="noConversion"/>
  </si>
  <si>
    <t>40 hours per week</t>
    <phoneticPr fontId="1" type="noConversion"/>
  </si>
  <si>
    <t>Free medical treatment will be provided.
(as per Polish Social lnsurance lnstitution)</t>
    <phoneticPr fontId="1" type="noConversion"/>
  </si>
  <si>
    <t>As per Polish Social lnsurance lnstitution</t>
    <phoneticPr fontId="1" type="noConversion"/>
  </si>
  <si>
    <t>The Principal may ask the employee to work overtime according to the rules
of the company (as per Poland and Schengen Law)</t>
    <phoneticPr fontId="1" type="noConversion"/>
  </si>
  <si>
    <t>As per Polish Civil Code/Labour Law</t>
    <phoneticPr fontId="1" type="noConversion"/>
  </si>
  <si>
    <t>Free of charge, provided by The Employer by on the company rule</t>
    <phoneticPr fontId="1" type="noConversion"/>
  </si>
  <si>
    <r>
      <t>Basic Terms of Contract</t>
    </r>
    <r>
      <rPr>
        <sz val="12"/>
        <color theme="1"/>
        <rFont val="Calibri Light"/>
        <family val="2"/>
      </rPr>
      <t>(main provision)</t>
    </r>
    <phoneticPr fontId="1" type="noConversion"/>
  </si>
  <si>
    <t>- 1 -</t>
    <phoneticPr fontId="1" type="noConversion"/>
  </si>
  <si>
    <t>- 2 -</t>
    <phoneticPr fontId="1" type="noConversion"/>
  </si>
  <si>
    <t>The contract is valid under the condition that a type "D" visa is issued by the Embassy of the Republic of poland and upon</t>
    <phoneticPr fontId="1" type="noConversion"/>
  </si>
  <si>
    <t>arrivalto Poland.</t>
  </si>
  <si>
    <t>The Agreement complies with all employment rights in Poland and ensures respect for personal dignity,</t>
    <phoneticPr fontId="1" type="noConversion"/>
  </si>
  <si>
    <t>security and respect for the employee, in accordance with national as well as international labour law.</t>
    <phoneticPr fontId="1" type="noConversion"/>
  </si>
  <si>
    <t>Termination of contract</t>
    <phoneticPr fontId="1" type="noConversion"/>
  </si>
  <si>
    <t>Renewal of Contract</t>
    <phoneticPr fontId="1" type="noConversion"/>
  </si>
  <si>
    <t>The contract is renewable with the mutual agreement of both the Employer
and the Employee.</t>
    <phoneticPr fontId="1" type="noConversion"/>
  </si>
  <si>
    <t>Employee behaviour</t>
    <phoneticPr fontId="1" type="noConversion"/>
  </si>
  <si>
    <t>According to the employment contract,an Employee is required to behave
in a certain way.</t>
    <phoneticPr fontId="1" type="noConversion"/>
  </si>
  <si>
    <t xml:space="preserve">  -Punctuality -Honesty-Respect for others-Obedience to The law of poland.
ln the event of non-compliance with these behaviours and failure to comply with any of the obligations set out
in the job description below, the Employee will be subject to disciplinary action.</t>
    <phoneticPr fontId="1" type="noConversion"/>
  </si>
  <si>
    <t>The contract may be terminated by either party subject to one month's notice.
The contract shall terminate at the end of its full term unless extended.</t>
    <phoneticPr fontId="1" type="noConversion"/>
  </si>
  <si>
    <t>Job description</t>
    <phoneticPr fontId="1" type="noConversion"/>
  </si>
  <si>
    <t>Job title</t>
    <phoneticPr fontId="1" type="noConversion"/>
  </si>
  <si>
    <t>work on the production line, operation of production machines, preparing the final
product, packing, labelling, maintaining cleanliness in the workplace</t>
    <phoneticPr fontId="1" type="noConversion"/>
  </si>
  <si>
    <t>Duties</t>
    <phoneticPr fontId="1" type="noConversion"/>
  </si>
  <si>
    <t xml:space="preserve"> - Physically fit
 - Able to understand instructions either in English or Polish
 - Experience of working in small or commercial business or running own business as self-employed.
 - Good moral character
 - Efficient in completing tasks
 - Able to work in team and build good relationship
 - Must have basic numeracy skills</t>
    <phoneticPr fontId="1" type="noConversion"/>
  </si>
  <si>
    <t>- 3 -</t>
    <phoneticPr fontId="1" type="noConversion"/>
  </si>
  <si>
    <t>Packer in product line</t>
    <phoneticPr fontId="1" type="noConversion"/>
  </si>
  <si>
    <t>Key requirements</t>
    <phoneticPr fontId="1" type="noConversion"/>
  </si>
  <si>
    <t>Signature of Employee</t>
    <phoneticPr fontId="1" type="noConversion"/>
  </si>
  <si>
    <t>Employer Representative</t>
    <phoneticPr fontId="1" type="noConversion"/>
  </si>
  <si>
    <t>The Employer and Employee hereby declare that they understand and agree to sign and comply with these provisions They shall</t>
    <phoneticPr fontId="1" type="noConversion"/>
  </si>
  <si>
    <t>each retain a copy of the contract for future reference</t>
    <phoneticPr fontId="1" type="noConversion"/>
  </si>
  <si>
    <t>Dotyczy / Concerned :</t>
    <phoneticPr fontId="1" type="noConversion"/>
  </si>
  <si>
    <t>Numer paszportu / passport no</t>
    <phoneticPr fontId="1" type="noConversion"/>
  </si>
  <si>
    <t>Adres przebywania tej osoby w okresie kwarantanny -</t>
    <phoneticPr fontId="1" type="noConversion"/>
  </si>
  <si>
    <t>Dear Sir or Madam,</t>
    <phoneticPr fontId="1" type="noConversion"/>
  </si>
  <si>
    <t xml:space="preserve">We would like to assure that after arrival to Poland, the above-mentioned employee we will comply </t>
    <phoneticPr fontId="1" type="noConversion"/>
  </si>
  <si>
    <t>with applicable laws and we will provide for this person 14 days home quarantine. We will take care of this person,</t>
    <phoneticPr fontId="1" type="noConversion"/>
  </si>
  <si>
    <t>provide necessary living resources, including meals, in accordance with applicable regulations.</t>
  </si>
  <si>
    <t>The address ofthis person's stay during the quarantine period -</t>
    <phoneticPr fontId="1" type="noConversion"/>
  </si>
  <si>
    <t>or another flat available on a given date.</t>
    <phoneticPr fontId="1" type="noConversion"/>
  </si>
  <si>
    <t>lf you have any questions, please contact me at :</t>
    <phoneticPr fontId="1" type="noConversion"/>
  </si>
  <si>
    <t>INFORMATION ON MANDATORY QUARANTINE</t>
    <phoneticPr fontId="1" type="noConversion"/>
  </si>
  <si>
    <t>Potwierdzenie zakwaterowania
Confirmation of accommodation</t>
    <phoneticPr fontId="1" type="noConversion"/>
  </si>
  <si>
    <t>gwarantujemy Pani/Panu</t>
    <phoneticPr fontId="1" type="noConversion"/>
  </si>
  <si>
    <t>As a Company responsible for the recruitment of employees from</t>
  </si>
  <si>
    <t>we guarantee Mr/Mrs</t>
    <phoneticPr fontId="1" type="noConversion"/>
  </si>
  <si>
    <t>Passport number :</t>
    <phoneticPr fontId="1" type="noConversion"/>
  </si>
  <si>
    <t>accommodation in corporate apartments :</t>
    <phoneticPr fontId="1" type="noConversion"/>
  </si>
  <si>
    <t>Wydział Konsularny</t>
  </si>
  <si>
    <t>INFORMACJA NA TEMAT APLIKACJI WIZOWYCH KANDYDATÓW DO PRACY</t>
  </si>
  <si>
    <t>Szanowni Państwo,</t>
  </si>
  <si>
    <t>Niniejszym pragnę poinformować, iż nasza firma jest zainteresowana zatrudnieniem obywateli</t>
  </si>
  <si>
    <t>w pełnym wymiarze czasu pracy 160 godzin miesięcznie na umowę zlecenie.</t>
  </si>
  <si>
    <t>Potwierdzamy, że zgodnie z przesłanymi dokumentami gwarantujemy pracownikom pracę w naszej firmie na stanowisku</t>
  </si>
  <si>
    <t>pracownik ma zapewnione zakwaterowanie i dojazd zgodnie z umową</t>
  </si>
  <si>
    <t>przeslaną kandydatowi.</t>
  </si>
  <si>
    <t>zostało wydane przez Wojewodę Śląskiego zezwolenie na pracę dla :</t>
  </si>
  <si>
    <t>,data urodzenia:</t>
  </si>
  <si>
    <t>numer paszportu:</t>
  </si>
  <si>
    <t>Zwracam się z prośbą o wydanie pozytywnej decyzji wizowej dla wyżej wymienionej osoby, jeżeli</t>
  </si>
  <si>
    <t>niezbędne są dodatkowe informacje z naszej strony, bardzo proszę o kontakt.</t>
  </si>
  <si>
    <t>lmię i nazwisko / Name and surname</t>
  </si>
  <si>
    <t>Narodowość / Nationality</t>
  </si>
  <si>
    <t>Chcielibyśmy zapewnić, że po przyjeździe ww. Pracownika do Polski, zastosujemy się do obowiązujących</t>
  </si>
  <si>
    <t>INFORMACJA O OBOWIĄZKOWEJ KWARANTANNIE</t>
  </si>
  <si>
    <t>przepisów i zapewnimy tej osobie warunki do odbycia 14 dniowej kwarantanny domowej. Zaopiekujemy się tą osobą,</t>
  </si>
  <si>
    <t>dostarczymy jej niezbędne do życia środki, w tym wyżywienie, zgodnie z obowiązującymi przepisami.</t>
  </si>
  <si>
    <t>lub inne mieszkanie dostępne w danym terminie.</t>
  </si>
  <si>
    <t>W przypadku pytań proszę o kontakt pod nr tel :</t>
  </si>
  <si>
    <t>Jako firma odpowiadająca za rekrutacje pracowników z</t>
  </si>
  <si>
    <t>Legitymującej/mu się paszportem o numerze :</t>
  </si>
  <si>
    <t>zakwaterowanie w mieszkaniach firmowych w Polsce pod adresem :</t>
  </si>
  <si>
    <t>Pakowacz</t>
  </si>
  <si>
    <t>Ambacy address</t>
  </si>
  <si>
    <t>Cameroonian</t>
    <phoneticPr fontId="1" type="noConversion"/>
  </si>
  <si>
    <t>Yaounde</t>
    <phoneticPr fontId="1" type="noConversion"/>
  </si>
  <si>
    <t>Rue 1381,Nouvelle Route Bastos</t>
    <phoneticPr fontId="1" type="noConversion"/>
  </si>
  <si>
    <t xml:space="preserve">Cyrille Njowo Nana </t>
    <phoneticPr fontId="1" type="noConversion"/>
  </si>
  <si>
    <t>18/03/1987</t>
    <phoneticPr fontId="1" type="noConversion"/>
  </si>
  <si>
    <t>A-13516/2022</t>
    <phoneticPr fontId="1" type="noConversion"/>
  </si>
  <si>
    <t>3,169zl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</si>
</sst>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 Light"/>
      <family val="2"/>
    </font>
    <font>
      <b/>
      <sz val="14"/>
      <color theme="1"/>
      <name val="Calibri Light"/>
      <family val="2"/>
    </font>
    <font>
      <sz val="12"/>
      <color theme="1"/>
      <name val="Calibri Light"/>
      <family val="2"/>
    </font>
    <font>
      <b/>
      <sz val="12"/>
      <color theme="1"/>
      <name val="Calibri Light"/>
      <family val="2"/>
    </font>
    <font>
      <b/>
      <sz val="12"/>
      <color rgb="FF002060"/>
      <name val="Calibri Light"/>
      <family val="2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Calibri Light"/>
      <family val="2"/>
    </font>
    <font>
      <b/>
      <sz val="14"/>
      <color rgb="FF002060"/>
      <name val="Calibri Light"/>
      <family val="2"/>
    </font>
    <font>
      <sz val="11"/>
      <name val="Calibri Light"/>
      <family val="2"/>
    </font>
    <font>
      <b/>
      <sz val="12"/>
      <color theme="4" tint="-0.499984740745262"/>
      <name val="Calibri Light"/>
      <family val="2"/>
      <charset val="204"/>
    </font>
    <font>
      <b/>
      <sz val="11"/>
      <color theme="4" tint="-0.499984740745262"/>
      <name val="Calibri Light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mediumDashed">
        <color auto="1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14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>
      <alignment vertical="center"/>
    </xf>
    <xf numFmtId="0" fontId="7" fillId="0" borderId="0" xfId="0" applyFont="1" applyBorder="1" applyAlignment="1">
      <alignment horizontal="left" vertical="center"/>
    </xf>
    <xf numFmtId="14" fontId="0" fillId="3" borderId="1" xfId="0" quotePrefix="1" applyNumberForma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quotePrefix="1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14" xfId="0" applyFont="1" applyBorder="1">
      <alignment vertical="center"/>
    </xf>
    <xf numFmtId="0" fontId="10" fillId="0" borderId="0" xfId="0" applyFo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Border="1">
      <alignment vertical="center"/>
    </xf>
    <xf numFmtId="0" fontId="1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3" xfId="0" quotePrefix="1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quotePrefix="1" applyFont="1" applyBorder="1" applyAlignment="1">
      <alignment horizontal="left" vertical="center" wrapText="1"/>
    </xf>
    <xf numFmtId="0" fontId="5" fillId="0" borderId="7" xfId="0" quotePrefix="1" applyFont="1" applyBorder="1" applyAlignment="1">
      <alignment horizontal="left" vertical="center"/>
    </xf>
    <xf numFmtId="0" fontId="5" fillId="0" borderId="8" xfId="0" quotePrefix="1" applyFont="1" applyBorder="1" applyAlignment="1">
      <alignment horizontal="left" vertical="center"/>
    </xf>
    <xf numFmtId="0" fontId="5" fillId="0" borderId="9" xfId="0" quotePrefix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10" xfId="0" quotePrefix="1" applyFont="1" applyBorder="1" applyAlignment="1">
      <alignment horizontal="left" vertical="center"/>
    </xf>
    <xf numFmtId="0" fontId="5" fillId="0" borderId="11" xfId="0" quotePrefix="1" applyFont="1" applyBorder="1" applyAlignment="1">
      <alignment horizontal="left" vertical="center"/>
    </xf>
    <xf numFmtId="0" fontId="5" fillId="0" borderId="12" xfId="0" quotePrefix="1" applyFont="1" applyBorder="1" applyAlignment="1">
      <alignment horizontal="left" vertical="center"/>
    </xf>
    <xf numFmtId="0" fontId="5" fillId="0" borderId="13" xfId="0" quotePrefix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4" fontId="5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64229</xdr:colOff>
      <xdr:row>4</xdr:row>
      <xdr:rowOff>94615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B94FC1C-06F6-47A1-9F5C-573D6CFF6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381000"/>
          <a:ext cx="2448443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50048</xdr:colOff>
      <xdr:row>4</xdr:row>
      <xdr:rowOff>94615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BBB0119-6E27-4223-8AF0-2B3D0E702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00050"/>
          <a:ext cx="2448443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46873</xdr:colOff>
      <xdr:row>4</xdr:row>
      <xdr:rowOff>94615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A1C83B6-0E6E-4B48-98AD-9E7C0E083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00050"/>
          <a:ext cx="2448443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13</xdr:col>
      <xdr:colOff>46873</xdr:colOff>
      <xdr:row>4</xdr:row>
      <xdr:rowOff>94615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A05E996-FB00-4A0B-B824-C760F6E1F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" y="400050"/>
          <a:ext cx="2448443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5550-F3F2-4D4C-8F9B-56E6A5473465}">
  <dimension ref="B3:D25"/>
  <sheetViews>
    <sheetView showGridLines="0" tabSelected="1" topLeftCell="A7" workbookViewId="0">
      <selection activeCell="C24" sqref="C24"/>
    </sheetView>
  </sheetViews>
  <sheetFormatPr defaultRowHeight="17.399999999999999"/>
  <cols>
    <col min="2" max="2" width="25.09765625" bestFit="1" customWidth="1"/>
    <col min="3" max="3" width="35.59765625" bestFit="1" customWidth="1"/>
  </cols>
  <sheetData>
    <row r="3" spans="2:3">
      <c r="B3" s="1" t="s">
        <v>28</v>
      </c>
      <c r="C3" s="7" t="s">
        <v>29</v>
      </c>
    </row>
    <row r="4" spans="2:3">
      <c r="B4" s="1" t="s">
        <v>5</v>
      </c>
      <c r="C4" s="2" t="s">
        <v>6</v>
      </c>
    </row>
    <row r="5" spans="2:3">
      <c r="B5" s="34" t="s">
        <v>7</v>
      </c>
      <c r="C5" s="2" t="s">
        <v>26</v>
      </c>
    </row>
    <row r="6" spans="2:3">
      <c r="B6" s="34"/>
      <c r="C6" s="2" t="s">
        <v>27</v>
      </c>
    </row>
    <row r="7" spans="2:3">
      <c r="B7" s="1" t="s">
        <v>8</v>
      </c>
      <c r="C7" s="3" t="s">
        <v>36</v>
      </c>
    </row>
    <row r="8" spans="2:3">
      <c r="B8" s="1" t="s">
        <v>9</v>
      </c>
      <c r="C8" s="3" t="s">
        <v>37</v>
      </c>
    </row>
    <row r="9" spans="2:3">
      <c r="B9" s="1" t="s">
        <v>10</v>
      </c>
      <c r="C9" s="3" t="s">
        <v>11</v>
      </c>
    </row>
    <row r="10" spans="2:3">
      <c r="B10" s="1" t="s">
        <v>38</v>
      </c>
      <c r="C10" s="3" t="s">
        <v>39</v>
      </c>
    </row>
    <row r="11" spans="2:3">
      <c r="B11" s="1" t="s">
        <v>12</v>
      </c>
      <c r="C11" s="3" t="s">
        <v>13</v>
      </c>
    </row>
    <row r="12" spans="2:3">
      <c r="B12" s="1" t="s">
        <v>14</v>
      </c>
      <c r="C12" s="3" t="s">
        <v>15</v>
      </c>
    </row>
    <row r="13" spans="2:3">
      <c r="B13" s="1" t="s">
        <v>53</v>
      </c>
      <c r="C13" s="15">
        <v>44565</v>
      </c>
    </row>
    <row r="14" spans="2:3">
      <c r="B14" s="1" t="s">
        <v>16</v>
      </c>
      <c r="C14" s="4" t="s">
        <v>54</v>
      </c>
    </row>
    <row r="15" spans="2:3">
      <c r="B15" s="1" t="s">
        <v>17</v>
      </c>
      <c r="C15" s="5" t="s">
        <v>149</v>
      </c>
    </row>
    <row r="16" spans="2:3">
      <c r="B16" s="1" t="s">
        <v>18</v>
      </c>
      <c r="C16" s="4">
        <v>1037786</v>
      </c>
    </row>
    <row r="17" spans="2:4">
      <c r="B17" s="1" t="s">
        <v>43</v>
      </c>
      <c r="C17" s="6" t="s">
        <v>150</v>
      </c>
    </row>
    <row r="18" spans="2:4">
      <c r="B18" s="1" t="s">
        <v>19</v>
      </c>
      <c r="C18" s="5" t="s">
        <v>146</v>
      </c>
    </row>
    <row r="19" spans="2:4">
      <c r="B19" s="1" t="s">
        <v>20</v>
      </c>
      <c r="C19" s="5" t="s">
        <v>55</v>
      </c>
      <c r="D19" s="33" t="s">
        <v>144</v>
      </c>
    </row>
    <row r="20" spans="2:4">
      <c r="B20" s="1" t="s">
        <v>21</v>
      </c>
      <c r="C20" s="5" t="s">
        <v>147</v>
      </c>
    </row>
    <row r="21" spans="2:4">
      <c r="B21" s="32" t="s">
        <v>145</v>
      </c>
      <c r="C21" s="5" t="s">
        <v>148</v>
      </c>
    </row>
    <row r="22" spans="2:4">
      <c r="B22" s="1" t="s">
        <v>22</v>
      </c>
      <c r="C22" s="4" t="s">
        <v>151</v>
      </c>
    </row>
    <row r="23" spans="2:4">
      <c r="B23" s="1" t="s">
        <v>42</v>
      </c>
      <c r="C23" s="6">
        <v>44567</v>
      </c>
    </row>
    <row r="24" spans="2:4">
      <c r="B24" s="1" t="s">
        <v>23</v>
      </c>
      <c r="C24" s="5" t="s">
        <v>152</v>
      </c>
    </row>
    <row r="25" spans="2:4">
      <c r="B25" s="1" t="s">
        <v>24</v>
      </c>
      <c r="C25" s="5" t="s">
        <v>25</v>
      </c>
    </row>
  </sheetData>
  <mergeCells count="1">
    <mergeCell ref="B5:B6"/>
  </mergeCells>
  <phoneticPr fontId="1" type="noConversion"/>
  <dataValidations count="1">
    <dataValidation type="list" allowBlank="1" showInputMessage="1" showErrorMessage="1" sqref="D19" xr:uid="{19D56D00-31AA-4854-8099-C641DFFC2D06}">
      <formula1>"Pakowacz,Elektryk,Murarz"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F3F4-0D58-4A01-847F-0D7EEA789FCE}">
  <sheetPr>
    <pageSetUpPr fitToPage="1"/>
  </sheetPr>
  <dimension ref="A1:AP56"/>
  <sheetViews>
    <sheetView showGridLines="0" view="pageBreakPreview" zoomScale="90" zoomScaleNormal="100" zoomScaleSheetLayoutView="90" workbookViewId="0">
      <selection activeCell="G16" sqref="G16"/>
    </sheetView>
  </sheetViews>
  <sheetFormatPr defaultColWidth="8.69921875" defaultRowHeight="14.4"/>
  <cols>
    <col min="1" max="1" width="8.69921875" style="8"/>
    <col min="2" max="41" width="2.796875" style="8" customWidth="1"/>
    <col min="42" max="259" width="2.59765625" style="8" customWidth="1"/>
    <col min="260" max="16384" width="8.69921875" style="8"/>
  </cols>
  <sheetData>
    <row r="1" spans="1:42" ht="15.4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ht="15.4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</row>
    <row r="3" spans="1:42" ht="15.4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42" ht="15.4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42" ht="15.4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42" ht="15.4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42" ht="16.95" customHeight="1">
      <c r="A7" s="9"/>
      <c r="B7" s="11" t="str">
        <f>'Cover page'!C4</f>
        <v>ILNEDA sp.z o.o.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35">
        <f>'Cover page'!C13</f>
        <v>44565</v>
      </c>
      <c r="AH7" s="35"/>
      <c r="AI7" s="35"/>
      <c r="AJ7" s="35"/>
      <c r="AK7" s="35"/>
      <c r="AL7" s="35"/>
      <c r="AM7" s="35"/>
      <c r="AN7" s="9"/>
      <c r="AO7" s="9"/>
      <c r="AP7" s="9"/>
    </row>
    <row r="8" spans="1:42" ht="15.6">
      <c r="A8" s="9"/>
      <c r="B8" s="10" t="str">
        <f>'Cover page'!C5</f>
        <v>Stanisława Dubois 36,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42" ht="15.6">
      <c r="A9" s="9"/>
      <c r="B9" s="10" t="str">
        <f>'Cover page'!C6</f>
        <v>44-100 Gliwice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 ht="15.6">
      <c r="A10" s="9"/>
      <c r="B10" s="11" t="s">
        <v>32</v>
      </c>
      <c r="C10" s="9"/>
      <c r="D10" s="9"/>
      <c r="E10" s="9" t="str">
        <f>'Cover page'!C9</f>
        <v>631-269-93-90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  <row r="11" spans="1:42" ht="15.6">
      <c r="A11" s="9"/>
      <c r="B11" s="11" t="s">
        <v>33</v>
      </c>
      <c r="C11" s="9"/>
      <c r="D11" s="9"/>
      <c r="E11" s="9" t="str">
        <f>'Cover page'!C8</f>
        <v>389804151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</row>
    <row r="12" spans="1:42" ht="15.6">
      <c r="A12" s="9"/>
      <c r="B12" s="11" t="s">
        <v>34</v>
      </c>
      <c r="C12" s="9"/>
      <c r="D12" s="9"/>
      <c r="E12" s="9" t="str">
        <f>'Cover page'!C7</f>
        <v>918940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</row>
    <row r="13" spans="1:42" ht="15.6">
      <c r="A13" s="9"/>
      <c r="B13" s="11" t="s">
        <v>35</v>
      </c>
      <c r="C13" s="9"/>
      <c r="D13" s="9"/>
      <c r="E13" s="9" t="str">
        <f>'Cover page'!C10</f>
        <v>+48 575 835 862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</row>
    <row r="14" spans="1:42" ht="15.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12" t="s">
        <v>120</v>
      </c>
      <c r="AO14" s="9"/>
      <c r="AP14" s="9"/>
    </row>
    <row r="15" spans="1:42" ht="15.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12" t="str">
        <f>'Cover page'!C20</f>
        <v>Yaounde</v>
      </c>
      <c r="AO15" s="9"/>
      <c r="AP15" s="9"/>
    </row>
    <row r="16" spans="1:42" ht="15.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12" t="str">
        <f>'Cover page'!C21</f>
        <v>Rue 1381,Nouvelle Route Bastos</v>
      </c>
      <c r="AO16" s="9"/>
      <c r="AP16" s="9"/>
    </row>
    <row r="17" spans="1:42" ht="15.6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12"/>
      <c r="AO17" s="9"/>
      <c r="AP17" s="9"/>
    </row>
    <row r="18" spans="1:4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</row>
    <row r="19" spans="1:42" ht="19.95" customHeight="1">
      <c r="A19" s="9"/>
      <c r="B19" s="38" t="s">
        <v>121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9"/>
    </row>
    <row r="20" spans="1:42" ht="19.9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</row>
    <row r="21" spans="1:42" ht="19.95" customHeight="1">
      <c r="A21" s="9"/>
      <c r="B21" s="11" t="s">
        <v>122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9"/>
    </row>
    <row r="22" spans="1:42" ht="19.9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9"/>
    </row>
    <row r="23" spans="1:42" ht="19.95" customHeight="1">
      <c r="A23" s="9"/>
      <c r="B23" s="10"/>
      <c r="C23" s="10"/>
      <c r="D23" s="10" t="s">
        <v>123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36" t="str">
        <f>'Cover page'!C18</f>
        <v>Cameroonian</v>
      </c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10"/>
      <c r="AP23" s="9"/>
    </row>
    <row r="24" spans="1:42" ht="19.95" customHeight="1">
      <c r="A24" s="9"/>
      <c r="B24" s="10" t="s">
        <v>40</v>
      </c>
      <c r="C24" s="10"/>
      <c r="D24" s="10"/>
      <c r="E24" s="10"/>
      <c r="F24" s="10"/>
      <c r="G24" s="36" t="str">
        <f>'Cover page'!D19</f>
        <v>Pakowacz</v>
      </c>
      <c r="H24" s="36"/>
      <c r="I24" s="36"/>
      <c r="J24" s="36"/>
      <c r="K24" s="36"/>
      <c r="L24" s="36"/>
      <c r="M24" s="36"/>
      <c r="N24" s="10"/>
      <c r="O24" s="10" t="s">
        <v>124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9"/>
    </row>
    <row r="25" spans="1:42" ht="19.95" customHeight="1">
      <c r="A25" s="9"/>
      <c r="B25" s="10" t="s">
        <v>125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9"/>
    </row>
    <row r="26" spans="1:42" ht="19.95" customHeight="1">
      <c r="A26" s="9"/>
      <c r="B26" s="36" t="str">
        <f>G24</f>
        <v>Pakowacz</v>
      </c>
      <c r="C26" s="36"/>
      <c r="D26" s="36"/>
      <c r="E26" s="36"/>
      <c r="F26" s="36"/>
      <c r="G26" s="36"/>
      <c r="H26" s="36"/>
      <c r="I26" s="10"/>
      <c r="J26" s="10" t="s">
        <v>126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9"/>
    </row>
    <row r="27" spans="1:42" ht="19.95" customHeight="1">
      <c r="A27" s="9"/>
      <c r="B27" s="10" t="s">
        <v>127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9"/>
    </row>
    <row r="28" spans="1:42" ht="19.95" customHeight="1">
      <c r="A28" s="9"/>
      <c r="B28" s="10" t="s">
        <v>41</v>
      </c>
      <c r="C28" s="10"/>
      <c r="D28" s="37">
        <f>'Cover page'!C23</f>
        <v>44567</v>
      </c>
      <c r="E28" s="37"/>
      <c r="F28" s="37"/>
      <c r="G28" s="37"/>
      <c r="H28" s="37"/>
      <c r="I28" s="37"/>
      <c r="J28" s="10"/>
      <c r="K28" s="10" t="s">
        <v>128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9"/>
    </row>
    <row r="29" spans="1:42" ht="19.95" customHeight="1">
      <c r="A29" s="9"/>
      <c r="B29" s="39" t="str">
        <f>'Cover page'!C15</f>
        <v xml:space="preserve">Cyrille Njowo Nana </v>
      </c>
      <c r="C29" s="39"/>
      <c r="D29" s="39"/>
      <c r="E29" s="39"/>
      <c r="F29" s="39"/>
      <c r="G29" s="39"/>
      <c r="H29" s="39"/>
      <c r="I29" s="39"/>
      <c r="J29" s="39"/>
      <c r="K29" s="10"/>
      <c r="L29" s="10" t="s">
        <v>129</v>
      </c>
      <c r="M29" s="10"/>
      <c r="N29" s="10"/>
      <c r="O29" s="10"/>
      <c r="P29" s="10"/>
      <c r="Q29" s="10"/>
      <c r="R29" s="37" t="str">
        <f>'Cover page'!C17</f>
        <v>18/03/1987</v>
      </c>
      <c r="S29" s="37"/>
      <c r="T29" s="37"/>
      <c r="U29" s="37"/>
      <c r="V29" s="37"/>
      <c r="W29" s="10"/>
      <c r="X29" s="10" t="s">
        <v>130</v>
      </c>
      <c r="Y29" s="10"/>
      <c r="Z29" s="10"/>
      <c r="AA29" s="10"/>
      <c r="AB29" s="10"/>
      <c r="AC29" s="10"/>
      <c r="AD29" s="36">
        <f>'Cover page'!C16</f>
        <v>1037786</v>
      </c>
      <c r="AE29" s="36"/>
      <c r="AF29" s="36"/>
      <c r="AG29" s="36"/>
      <c r="AH29" s="36"/>
      <c r="AI29" s="36"/>
      <c r="AJ29" s="10"/>
      <c r="AK29" s="10"/>
      <c r="AL29" s="10"/>
      <c r="AM29" s="10"/>
      <c r="AN29" s="10"/>
      <c r="AO29" s="10"/>
      <c r="AP29" s="9"/>
    </row>
    <row r="30" spans="1:42" ht="19.95" customHeight="1">
      <c r="A30" s="9"/>
      <c r="B30" s="10"/>
      <c r="C30" s="10"/>
      <c r="D30" s="10" t="s">
        <v>131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9"/>
    </row>
    <row r="31" spans="1:42" ht="19.95" customHeight="1">
      <c r="A31" s="9"/>
      <c r="B31" s="10" t="s">
        <v>132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9"/>
    </row>
    <row r="32" spans="1:42" ht="19.9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</row>
    <row r="33" spans="1:42" ht="19.95" customHeight="1">
      <c r="A33" s="9"/>
      <c r="B33" s="38" t="s">
        <v>0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9"/>
    </row>
    <row r="34" spans="1:42" ht="19.9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</row>
    <row r="35" spans="1:42" ht="19.95" customHeight="1">
      <c r="A35" s="9"/>
      <c r="B35" s="11" t="s">
        <v>106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9"/>
    </row>
    <row r="36" spans="1:42" ht="19.9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9"/>
    </row>
    <row r="37" spans="1:42" ht="19.95" customHeight="1">
      <c r="A37" s="9"/>
      <c r="B37" s="10"/>
      <c r="C37" s="10"/>
      <c r="D37" s="10" t="s">
        <v>45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36" t="str">
        <f>'Cover page'!C18</f>
        <v>Cameroonian</v>
      </c>
      <c r="Z37" s="36"/>
      <c r="AA37" s="36"/>
      <c r="AB37" s="36"/>
      <c r="AC37" s="36"/>
      <c r="AD37" s="36"/>
      <c r="AE37" s="36"/>
      <c r="AF37" s="36"/>
      <c r="AG37" s="36"/>
      <c r="AH37" s="10"/>
      <c r="AI37" s="10" t="s">
        <v>46</v>
      </c>
      <c r="AJ37" s="10"/>
      <c r="AK37" s="10"/>
      <c r="AL37" s="10"/>
      <c r="AM37" s="10"/>
      <c r="AN37" s="10"/>
      <c r="AO37" s="10"/>
      <c r="AP37" s="9"/>
    </row>
    <row r="38" spans="1:42" ht="19.95" customHeight="1">
      <c r="A38" s="9"/>
      <c r="B38" s="36" t="str">
        <f>'Cover page'!C19</f>
        <v>Packer</v>
      </c>
      <c r="C38" s="36"/>
      <c r="D38" s="36"/>
      <c r="E38" s="36"/>
      <c r="F38" s="36"/>
      <c r="G38" s="36"/>
      <c r="H38" s="36"/>
      <c r="I38" s="10"/>
      <c r="J38" s="10" t="s">
        <v>44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9"/>
    </row>
    <row r="39" spans="1:42" ht="19.95" customHeight="1">
      <c r="A39" s="9"/>
      <c r="B39" s="10" t="s">
        <v>30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9"/>
    </row>
    <row r="40" spans="1:42" ht="19.95" customHeight="1">
      <c r="A40" s="9"/>
      <c r="B40" s="10" t="s">
        <v>47</v>
      </c>
      <c r="C40" s="10"/>
      <c r="D40" s="10"/>
      <c r="E40" s="10"/>
      <c r="F40" s="36" t="str">
        <f>'Cover page'!C19</f>
        <v>Packer</v>
      </c>
      <c r="G40" s="36"/>
      <c r="H40" s="36"/>
      <c r="I40" s="36"/>
      <c r="J40" s="36"/>
      <c r="K40" s="36"/>
      <c r="L40" s="36"/>
      <c r="M40" s="10"/>
      <c r="N40" s="10" t="s">
        <v>48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9"/>
    </row>
    <row r="41" spans="1:42" ht="19.95" customHeight="1">
      <c r="A41" s="9"/>
      <c r="B41" s="10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9"/>
    </row>
    <row r="42" spans="1:42" ht="19.95" customHeight="1">
      <c r="A42" s="9"/>
      <c r="B42" s="10" t="s">
        <v>49</v>
      </c>
      <c r="C42" s="10"/>
      <c r="D42" s="10"/>
      <c r="E42" s="10"/>
      <c r="F42" s="10"/>
      <c r="G42" s="10"/>
      <c r="H42" s="37">
        <f>'Cover page'!C23</f>
        <v>44567</v>
      </c>
      <c r="I42" s="36"/>
      <c r="J42" s="36"/>
      <c r="K42" s="36"/>
      <c r="L42" s="36"/>
      <c r="M42" s="36"/>
      <c r="N42" s="10"/>
      <c r="O42" s="10" t="s">
        <v>50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9"/>
    </row>
    <row r="43" spans="1:42" ht="19.95" customHeight="1">
      <c r="A43" s="9"/>
      <c r="B43" s="36" t="str">
        <f>'Cover page'!C15</f>
        <v xml:space="preserve">Cyrille Njowo Nana </v>
      </c>
      <c r="C43" s="36"/>
      <c r="D43" s="36"/>
      <c r="E43" s="36"/>
      <c r="F43" s="36"/>
      <c r="G43" s="36"/>
      <c r="H43" s="36"/>
      <c r="I43" s="36"/>
      <c r="J43" s="36"/>
      <c r="K43" s="10"/>
      <c r="L43" s="10" t="s">
        <v>51</v>
      </c>
      <c r="M43" s="10"/>
      <c r="N43" s="10"/>
      <c r="O43" s="10"/>
      <c r="P43" s="10"/>
      <c r="Q43" s="37" t="str">
        <f>'Cover page'!C17</f>
        <v>18/03/1987</v>
      </c>
      <c r="R43" s="36"/>
      <c r="S43" s="36"/>
      <c r="T43" s="36"/>
      <c r="U43" s="36"/>
      <c r="V43" s="10"/>
      <c r="W43" s="10" t="s">
        <v>52</v>
      </c>
      <c r="X43" s="10"/>
      <c r="Y43" s="10"/>
      <c r="Z43" s="10"/>
      <c r="AA43" s="10"/>
      <c r="AB43" s="10"/>
      <c r="AC43" s="36">
        <f>'Cover page'!C16</f>
        <v>1037786</v>
      </c>
      <c r="AD43" s="36"/>
      <c r="AE43" s="36"/>
      <c r="AF43" s="36"/>
      <c r="AG43" s="36"/>
      <c r="AH43" s="10"/>
      <c r="AI43" s="10"/>
      <c r="AJ43" s="10"/>
      <c r="AK43" s="10"/>
      <c r="AL43" s="10"/>
      <c r="AM43" s="10"/>
      <c r="AN43" s="10"/>
      <c r="AO43" s="10"/>
      <c r="AP43" s="9"/>
    </row>
    <row r="44" spans="1:42" ht="19.95" customHeight="1">
      <c r="A44" s="9"/>
      <c r="B44" s="10"/>
      <c r="C44" s="10"/>
      <c r="D44" s="10" t="s">
        <v>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9"/>
    </row>
    <row r="45" spans="1:42" ht="19.95" customHeight="1">
      <c r="A45" s="9"/>
      <c r="B45" s="10" t="s">
        <v>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9"/>
    </row>
    <row r="46" spans="1:4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</row>
    <row r="47" spans="1:4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</row>
    <row r="48" spans="1:4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</row>
    <row r="49" spans="1:42" ht="15.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12" t="s">
        <v>2</v>
      </c>
      <c r="AO49" s="9"/>
      <c r="AP49" s="9"/>
    </row>
    <row r="50" spans="1:42" ht="15.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11"/>
      <c r="AO50" s="9"/>
      <c r="AP50" s="9"/>
    </row>
    <row r="51" spans="1:42" ht="15.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12" t="s">
        <v>1</v>
      </c>
      <c r="AO51" s="9"/>
      <c r="AP51" s="9"/>
    </row>
    <row r="52" spans="1:4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</row>
    <row r="53" spans="1:4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</row>
    <row r="54" spans="1:4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</row>
    <row r="56" spans="1:4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</row>
  </sheetData>
  <sheetProtection formatCells="0" formatColumns="0" formatRows="0" insertColumns="0" insertRows="0" insertHyperlinks="0" deleteColumns="0" deleteRows="0" sort="0" autoFilter="0" pivotTables="0"/>
  <mergeCells count="17">
    <mergeCell ref="B43:J43"/>
    <mergeCell ref="Q43:U43"/>
    <mergeCell ref="AC43:AG43"/>
    <mergeCell ref="AG7:AM7"/>
    <mergeCell ref="B26:H26"/>
    <mergeCell ref="B38:H38"/>
    <mergeCell ref="F40:L40"/>
    <mergeCell ref="H42:M42"/>
    <mergeCell ref="B19:AO19"/>
    <mergeCell ref="B33:AO33"/>
    <mergeCell ref="D28:I28"/>
    <mergeCell ref="R29:V29"/>
    <mergeCell ref="AD29:AI29"/>
    <mergeCell ref="B29:J29"/>
    <mergeCell ref="G24:M24"/>
    <mergeCell ref="AD23:AN23"/>
    <mergeCell ref="Y37:AG37"/>
  </mergeCells>
  <phoneticPr fontId="1" type="noConversion"/>
  <printOptions horizontalCentered="1"/>
  <pageMargins left="0.7" right="0.7" top="0.75" bottom="0.75" header="0.3" footer="0.3"/>
  <pageSetup paperSize="9" scale="71" fitToHeight="0" orientation="portrait" r:id="rId1"/>
  <headerFooter>
    <oddFooter>&amp;Chutengroup&amp;RVisa support document_Ver1.0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7DE9A-04F0-4BEF-A3CE-15B7BC6F3019}">
  <dimension ref="A1:AP72"/>
  <sheetViews>
    <sheetView showGridLines="0" view="pageBreakPreview" topLeftCell="A34" zoomScaleNormal="100" zoomScaleSheetLayoutView="100" workbookViewId="0">
      <selection activeCell="AW59" sqref="AW59"/>
    </sheetView>
  </sheetViews>
  <sheetFormatPr defaultColWidth="8.69921875" defaultRowHeight="15.6"/>
  <cols>
    <col min="1" max="1" width="8.69921875" style="17"/>
    <col min="2" max="41" width="2.796875" style="17" customWidth="1"/>
    <col min="42" max="259" width="2.59765625" style="17" customWidth="1"/>
    <col min="260" max="16384" width="8.69921875" style="17"/>
  </cols>
  <sheetData>
    <row r="1" spans="1:4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16.95" customHeight="1">
      <c r="A7" s="10"/>
      <c r="B7" s="64" t="s">
        <v>56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10"/>
      <c r="AP7" s="10"/>
    </row>
    <row r="8" spans="1:4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>
      <c r="A9" s="10"/>
      <c r="B9" s="10" t="s">
        <v>60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37">
        <f>'Cover page'!C13</f>
        <v>44565</v>
      </c>
      <c r="AA9" s="36"/>
      <c r="AB9" s="36"/>
      <c r="AC9" s="36"/>
      <c r="AD9" s="36"/>
      <c r="AE9" s="36"/>
      <c r="AF9" s="10"/>
      <c r="AG9" s="10" t="s">
        <v>61</v>
      </c>
      <c r="AH9" s="10"/>
      <c r="AI9" s="10"/>
      <c r="AJ9" s="10"/>
      <c r="AK9" s="10"/>
      <c r="AL9" s="10"/>
      <c r="AM9" s="10"/>
      <c r="AN9" s="10"/>
      <c r="AO9" s="10"/>
      <c r="AP9" s="10"/>
    </row>
    <row r="10" spans="1:4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6"/>
      <c r="AA10" s="14"/>
      <c r="AB10" s="14"/>
      <c r="AC10" s="14"/>
      <c r="AD10" s="14"/>
      <c r="AE10" s="14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>
      <c r="A11" s="10"/>
      <c r="B11" s="10"/>
      <c r="C11" s="13" t="str">
        <f>'Cover page'!C4</f>
        <v>ILNEDA sp.z o.o.</v>
      </c>
      <c r="D11" s="1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>
      <c r="A12" s="10"/>
      <c r="B12" s="10"/>
      <c r="C12" s="13" t="str">
        <f>'Cover page'!C5</f>
        <v>Stanisława Dubois 36,</v>
      </c>
      <c r="D12" s="10"/>
      <c r="E12" s="11"/>
      <c r="F12" s="11"/>
      <c r="G12" s="11"/>
      <c r="H12" s="11"/>
      <c r="I12" s="11"/>
      <c r="J12" s="11"/>
      <c r="K12" s="13" t="str">
        <f>'Cover page'!C6</f>
        <v>44-100 Gliwice</v>
      </c>
      <c r="L12" s="11"/>
      <c r="M12" s="11"/>
      <c r="N12" s="11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>
      <c r="A13" s="10"/>
      <c r="B13" s="10"/>
      <c r="C13" s="11" t="s">
        <v>32</v>
      </c>
      <c r="D13" s="10"/>
      <c r="E13" s="13" t="str">
        <f>'Cover page'!C9</f>
        <v>631-269-93-90</v>
      </c>
      <c r="F13" s="11"/>
      <c r="G13" s="11"/>
      <c r="H13" s="11"/>
      <c r="I13" s="11"/>
      <c r="J13" s="11"/>
      <c r="K13" s="11"/>
      <c r="L13" s="11"/>
      <c r="M13" s="11"/>
      <c r="N13" s="11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>
      <c r="A14" s="10"/>
      <c r="B14" s="10"/>
      <c r="C14" s="11" t="s">
        <v>33</v>
      </c>
      <c r="D14" s="10"/>
      <c r="E14" s="11"/>
      <c r="F14" s="13" t="str">
        <f>'Cover page'!C8</f>
        <v>389804151</v>
      </c>
      <c r="G14" s="11"/>
      <c r="H14" s="11"/>
      <c r="I14" s="11"/>
      <c r="J14" s="11"/>
      <c r="K14" s="11"/>
      <c r="L14" s="11"/>
      <c r="M14" s="11"/>
      <c r="N14" s="11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spans="1:42">
      <c r="A15" s="10"/>
      <c r="B15" s="10"/>
      <c r="C15" s="11" t="s">
        <v>34</v>
      </c>
      <c r="D15" s="10"/>
      <c r="E15" s="13" t="str">
        <f>'Cover page'!C7</f>
        <v>918940</v>
      </c>
      <c r="F15" s="11"/>
      <c r="G15" s="11"/>
      <c r="H15" s="11"/>
      <c r="I15" s="11"/>
      <c r="J15" s="11"/>
      <c r="K15" s="11"/>
      <c r="L15" s="11"/>
      <c r="M15" s="11"/>
      <c r="N15" s="11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spans="1:42">
      <c r="A16" s="10"/>
      <c r="B16" s="10"/>
      <c r="C16" s="10" t="s">
        <v>57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spans="1:4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spans="1:42">
      <c r="A18" s="10"/>
      <c r="C18" s="17" t="s">
        <v>58</v>
      </c>
      <c r="AP18" s="10"/>
    </row>
    <row r="19" spans="1:42">
      <c r="A19" s="10"/>
      <c r="AP19" s="10"/>
    </row>
    <row r="20" spans="1:42">
      <c r="A20" s="10"/>
      <c r="AP20" s="10"/>
    </row>
    <row r="21" spans="1:42">
      <c r="A21" s="10"/>
      <c r="AP21" s="10"/>
    </row>
    <row r="22" spans="1:42">
      <c r="A22" s="10"/>
      <c r="C22" s="65" t="str">
        <f>'Cover page'!C15</f>
        <v xml:space="preserve">Cyrille Njowo Nana 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AP22" s="10"/>
    </row>
    <row r="23" spans="1:42">
      <c r="A23" s="10"/>
      <c r="C23" s="17" t="s">
        <v>59</v>
      </c>
      <c r="AP23" s="10"/>
    </row>
    <row r="24" spans="1:42">
      <c r="A24" s="10"/>
      <c r="AP24" s="10"/>
    </row>
    <row r="25" spans="1:42">
      <c r="A25" s="10"/>
      <c r="B25" s="17" t="s">
        <v>80</v>
      </c>
      <c r="AP25" s="10"/>
    </row>
    <row r="26" spans="1:42">
      <c r="A26" s="10"/>
      <c r="B26" s="17" t="s">
        <v>81</v>
      </c>
      <c r="AP26" s="10"/>
    </row>
    <row r="27" spans="1:42">
      <c r="A27" s="10"/>
      <c r="B27" s="17" t="s">
        <v>82</v>
      </c>
      <c r="AP27" s="10"/>
    </row>
    <row r="28" spans="1:42">
      <c r="A28" s="10"/>
      <c r="B28" s="17" t="s">
        <v>83</v>
      </c>
      <c r="AP28" s="10"/>
    </row>
    <row r="29" spans="1:42">
      <c r="A29" s="10"/>
      <c r="AP29" s="10"/>
    </row>
    <row r="30" spans="1:42">
      <c r="A30" s="10"/>
      <c r="B30" s="40" t="s">
        <v>78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10"/>
    </row>
    <row r="31" spans="1:42">
      <c r="A31" s="10"/>
      <c r="B31" s="20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0"/>
    </row>
    <row r="32" spans="1:42">
      <c r="A32" s="10"/>
      <c r="B32" s="41" t="s">
        <v>77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10"/>
    </row>
    <row r="33" spans="1:42">
      <c r="A33" s="10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0"/>
    </row>
    <row r="34" spans="1:42">
      <c r="A34" s="10"/>
      <c r="C34" s="42" t="s">
        <v>62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4" t="s">
        <v>70</v>
      </c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P34" s="10"/>
    </row>
    <row r="35" spans="1:42">
      <c r="A35" s="10"/>
      <c r="C35" s="42" t="s">
        <v>63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4" t="s">
        <v>71</v>
      </c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P35" s="10"/>
    </row>
    <row r="36" spans="1:42">
      <c r="A36" s="10"/>
      <c r="C36" s="42" t="s">
        <v>64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4" t="s">
        <v>76</v>
      </c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P36" s="10"/>
    </row>
    <row r="37" spans="1:42">
      <c r="A37" s="10"/>
      <c r="C37" s="42" t="s">
        <v>65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4" t="s">
        <v>76</v>
      </c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P37" s="10"/>
    </row>
    <row r="38" spans="1:42" ht="34.950000000000003" customHeight="1">
      <c r="A38" s="10"/>
      <c r="C38" s="42" t="s">
        <v>66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3" t="s">
        <v>72</v>
      </c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P38" s="10"/>
    </row>
    <row r="39" spans="1:42">
      <c r="A39" s="10"/>
      <c r="C39" s="42" t="s">
        <v>67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4" t="s">
        <v>73</v>
      </c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P39" s="10"/>
    </row>
    <row r="40" spans="1:42">
      <c r="A40" s="10"/>
      <c r="C40" s="42" t="s">
        <v>23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4" t="str">
        <f>'Cover page'!C24</f>
        <v>3,169zl</v>
      </c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P40" s="10"/>
    </row>
    <row r="41" spans="1:42" ht="34.950000000000003" customHeight="1">
      <c r="A41" s="10"/>
      <c r="C41" s="42" t="s">
        <v>68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 t="s">
        <v>74</v>
      </c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P41" s="10"/>
    </row>
    <row r="42" spans="1:42">
      <c r="A42" s="10"/>
      <c r="C42" s="42" t="s">
        <v>69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4" t="s">
        <v>75</v>
      </c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P42" s="10"/>
    </row>
    <row r="43" spans="1:42">
      <c r="A43" s="10"/>
      <c r="AP43" s="10"/>
    </row>
    <row r="44" spans="1:42">
      <c r="A44" s="10"/>
      <c r="B44" s="40" t="s">
        <v>79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10"/>
    </row>
    <row r="45" spans="1:42">
      <c r="A45" s="10"/>
      <c r="B45" s="20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0"/>
    </row>
    <row r="46" spans="1:42" ht="34.950000000000003" customHeight="1">
      <c r="A46" s="10"/>
      <c r="C46" s="45" t="s">
        <v>85</v>
      </c>
      <c r="D46" s="46"/>
      <c r="E46" s="46"/>
      <c r="F46" s="46"/>
      <c r="G46" s="46"/>
      <c r="H46" s="46"/>
      <c r="I46" s="46"/>
      <c r="J46" s="46"/>
      <c r="K46" s="46"/>
      <c r="L46" s="46"/>
      <c r="M46" s="47"/>
      <c r="N46" s="63" t="s">
        <v>86</v>
      </c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2"/>
      <c r="AP46" s="10"/>
    </row>
    <row r="47" spans="1:42" ht="34.950000000000003" customHeight="1">
      <c r="A47" s="10"/>
      <c r="C47" s="45" t="s">
        <v>87</v>
      </c>
      <c r="D47" s="46"/>
      <c r="E47" s="46"/>
      <c r="F47" s="46"/>
      <c r="G47" s="46"/>
      <c r="H47" s="46"/>
      <c r="I47" s="46"/>
      <c r="J47" s="46"/>
      <c r="K47" s="46"/>
      <c r="L47" s="46"/>
      <c r="M47" s="47"/>
      <c r="N47" s="63" t="s">
        <v>88</v>
      </c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2"/>
      <c r="AP47" s="10"/>
    </row>
    <row r="48" spans="1:42" ht="25.05" customHeight="1">
      <c r="A48" s="10"/>
      <c r="C48" s="51" t="s">
        <v>89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3"/>
      <c r="AP48" s="10"/>
    </row>
    <row r="49" spans="1:42" ht="25.05" customHeight="1">
      <c r="A49" s="10"/>
      <c r="B49" s="18"/>
      <c r="C49" s="54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6"/>
      <c r="AP49" s="10"/>
    </row>
    <row r="50" spans="1:42" ht="25.05" customHeight="1">
      <c r="A50" s="10"/>
      <c r="B50" s="18"/>
      <c r="C50" s="57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9"/>
      <c r="AP50" s="10"/>
    </row>
    <row r="51" spans="1:42" ht="34.950000000000003" customHeight="1">
      <c r="A51" s="10"/>
      <c r="C51" s="45" t="s">
        <v>84</v>
      </c>
      <c r="D51" s="46"/>
      <c r="E51" s="46"/>
      <c r="F51" s="46"/>
      <c r="G51" s="46"/>
      <c r="H51" s="46"/>
      <c r="I51" s="46"/>
      <c r="J51" s="46"/>
      <c r="K51" s="46"/>
      <c r="L51" s="46"/>
      <c r="M51" s="47"/>
      <c r="N51" s="63" t="s">
        <v>90</v>
      </c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2"/>
      <c r="AP51" s="10"/>
    </row>
    <row r="52" spans="1:42">
      <c r="A52" s="10"/>
      <c r="C52" s="45" t="s">
        <v>91</v>
      </c>
      <c r="D52" s="46"/>
      <c r="E52" s="46"/>
      <c r="F52" s="46"/>
      <c r="G52" s="46"/>
      <c r="H52" s="46"/>
      <c r="I52" s="46"/>
      <c r="J52" s="46"/>
      <c r="K52" s="46"/>
      <c r="L52" s="46"/>
      <c r="M52" s="47"/>
      <c r="N52" s="60" t="str">
        <f>'Cover page'!C19</f>
        <v>Packer</v>
      </c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1"/>
      <c r="AL52" s="61"/>
      <c r="AM52" s="61"/>
      <c r="AN52" s="62"/>
      <c r="AP52" s="10"/>
    </row>
    <row r="53" spans="1:42">
      <c r="A53" s="10"/>
      <c r="AP53" s="10"/>
    </row>
    <row r="54" spans="1:42" ht="19.95" customHeight="1">
      <c r="A54" s="10"/>
      <c r="AP54" s="10"/>
    </row>
    <row r="55" spans="1:42" ht="19.95" customHeight="1">
      <c r="A55" s="10"/>
      <c r="B55" s="8"/>
      <c r="C55" s="42" t="s">
        <v>92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4" t="s">
        <v>97</v>
      </c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P55" s="10"/>
    </row>
    <row r="56" spans="1:42" ht="44.4" customHeight="1">
      <c r="A56" s="10"/>
      <c r="C56" s="42" t="s">
        <v>94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3" t="s">
        <v>93</v>
      </c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P56" s="10"/>
    </row>
    <row r="57" spans="1:42">
      <c r="A57" s="10"/>
      <c r="C57" s="45" t="s">
        <v>98</v>
      </c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7"/>
      <c r="AP57" s="10"/>
    </row>
    <row r="58" spans="1:42" ht="150" customHeight="1">
      <c r="A58" s="10"/>
      <c r="C58" s="48" t="s">
        <v>95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50"/>
      <c r="AP58" s="10"/>
    </row>
    <row r="59" spans="1:42">
      <c r="A59" s="10"/>
      <c r="AP59" s="10"/>
    </row>
    <row r="60" spans="1:42">
      <c r="A60" s="10"/>
      <c r="B60" s="40" t="s">
        <v>96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10"/>
    </row>
    <row r="61" spans="1:42">
      <c r="A61" s="10"/>
      <c r="B61" s="20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0"/>
    </row>
    <row r="62" spans="1:42">
      <c r="A62" s="10"/>
      <c r="B62" s="8" t="s">
        <v>101</v>
      </c>
      <c r="AP62" s="10"/>
    </row>
    <row r="63" spans="1:42">
      <c r="A63" s="10"/>
      <c r="B63" s="17" t="s">
        <v>102</v>
      </c>
      <c r="AP63" s="10"/>
    </row>
    <row r="64" spans="1:4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1:4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</row>
    <row r="67" spans="1:42">
      <c r="C67" s="21" t="s">
        <v>99</v>
      </c>
      <c r="AE67" s="21" t="s">
        <v>100</v>
      </c>
    </row>
    <row r="69" spans="1:42" ht="18">
      <c r="C69" s="23" t="str">
        <f>'Cover page'!C15</f>
        <v xml:space="preserve">Cyrille Njowo Nana </v>
      </c>
      <c r="AE69" s="23" t="str">
        <f>'Cover page'!C11</f>
        <v>Juhyeong Jo</v>
      </c>
    </row>
    <row r="72" spans="1:42" ht="16.2" thickBot="1">
      <c r="C72" s="22"/>
      <c r="D72" s="22"/>
      <c r="E72" s="22"/>
      <c r="F72" s="22"/>
      <c r="G72" s="22"/>
      <c r="H72" s="22"/>
      <c r="I72" s="22"/>
      <c r="J72" s="22"/>
      <c r="K72" s="22"/>
      <c r="L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</row>
  </sheetData>
  <sheetProtection formatCells="0" formatColumns="0" formatRows="0" insertColumns="0" insertRows="0" insertHyperlinks="0" deleteColumns="0" deleteRows="0" sort="0" autoFilter="0" pivotTables="0"/>
  <mergeCells count="40">
    <mergeCell ref="Z9:AE9"/>
    <mergeCell ref="B7:AN7"/>
    <mergeCell ref="N39:AN39"/>
    <mergeCell ref="N40:AN40"/>
    <mergeCell ref="N41:AN41"/>
    <mergeCell ref="C22:O22"/>
    <mergeCell ref="B32:AO32"/>
    <mergeCell ref="C34:M34"/>
    <mergeCell ref="C35:M35"/>
    <mergeCell ref="C36:M36"/>
    <mergeCell ref="C37:M37"/>
    <mergeCell ref="C38:M38"/>
    <mergeCell ref="C39:M39"/>
    <mergeCell ref="C40:M40"/>
    <mergeCell ref="N42:AN42"/>
    <mergeCell ref="B30:AO30"/>
    <mergeCell ref="B44:AO44"/>
    <mergeCell ref="C51:M51"/>
    <mergeCell ref="N51:AN51"/>
    <mergeCell ref="C46:M46"/>
    <mergeCell ref="N46:AN46"/>
    <mergeCell ref="C47:M47"/>
    <mergeCell ref="N47:AN47"/>
    <mergeCell ref="C41:M41"/>
    <mergeCell ref="C42:M42"/>
    <mergeCell ref="N34:AN34"/>
    <mergeCell ref="N35:AN35"/>
    <mergeCell ref="N36:AN36"/>
    <mergeCell ref="N37:AN37"/>
    <mergeCell ref="N38:AN38"/>
    <mergeCell ref="C48:AN50"/>
    <mergeCell ref="N52:AN52"/>
    <mergeCell ref="C52:M52"/>
    <mergeCell ref="C55:M55"/>
    <mergeCell ref="N55:AN55"/>
    <mergeCell ref="B60:AO60"/>
    <mergeCell ref="C56:M56"/>
    <mergeCell ref="N56:AN56"/>
    <mergeCell ref="C57:AN57"/>
    <mergeCell ref="C58:AN58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&amp;Chutengroup&amp;RVisa support document_Rev1.0</oddFooter>
  </headerFooter>
  <rowBreaks count="1" manualBreakCount="1">
    <brk id="52" min="1" max="3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2914C-AA0A-49CD-B544-D0C4522275B1}">
  <sheetPr>
    <pageSetUpPr fitToPage="1"/>
  </sheetPr>
  <dimension ref="A1:AP57"/>
  <sheetViews>
    <sheetView showGridLines="0" view="pageBreakPreview" topLeftCell="A28" zoomScaleNormal="100" zoomScaleSheetLayoutView="100" workbookViewId="0">
      <selection activeCell="T20" sqref="T20"/>
    </sheetView>
  </sheetViews>
  <sheetFormatPr defaultColWidth="8.69921875" defaultRowHeight="15.6"/>
  <cols>
    <col min="1" max="1" width="8.69921875" style="17"/>
    <col min="2" max="41" width="2.796875" style="17" customWidth="1"/>
    <col min="42" max="259" width="2.59765625" style="17" customWidth="1"/>
    <col min="260" max="16384" width="8.69921875" style="17"/>
  </cols>
  <sheetData>
    <row r="1" spans="1:4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16.95" customHeight="1">
      <c r="A7" s="10"/>
      <c r="B7" s="11" t="str">
        <f>'Cover page'!C4</f>
        <v>ILNEDA sp.z o.o.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67">
        <f>'Cover page'!C13</f>
        <v>44565</v>
      </c>
      <c r="AH7" s="67"/>
      <c r="AI7" s="67"/>
      <c r="AJ7" s="67"/>
      <c r="AK7" s="67"/>
      <c r="AL7" s="67"/>
      <c r="AM7" s="67"/>
      <c r="AN7" s="10"/>
      <c r="AO7" s="10"/>
      <c r="AP7" s="10"/>
    </row>
    <row r="8" spans="1:42">
      <c r="A8" s="10"/>
      <c r="B8" s="10" t="str">
        <f>'Cover page'!C5</f>
        <v>Stanisława Dubois 36,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>
      <c r="A9" s="10"/>
      <c r="B9" s="10" t="str">
        <f>'Cover page'!C6</f>
        <v>44-100 Gliwice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>
      <c r="A10" s="10"/>
      <c r="B10" s="11" t="s">
        <v>32</v>
      </c>
      <c r="C10" s="10"/>
      <c r="D10" s="10"/>
      <c r="E10" s="10" t="str">
        <f>'Cover page'!C9</f>
        <v>631-269-93-90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>
      <c r="A11" s="10"/>
      <c r="B11" s="11" t="s">
        <v>33</v>
      </c>
      <c r="C11" s="10"/>
      <c r="D11" s="10"/>
      <c r="E11" s="10" t="str">
        <f>'Cover page'!C8</f>
        <v>389804151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>
      <c r="A12" s="10"/>
      <c r="B12" s="11" t="s">
        <v>34</v>
      </c>
      <c r="C12" s="10"/>
      <c r="D12" s="10"/>
      <c r="E12" s="10" t="str">
        <f>'Cover page'!C7</f>
        <v>918940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>
      <c r="A13" s="10"/>
      <c r="B13" s="11" t="s">
        <v>35</v>
      </c>
      <c r="C13" s="10"/>
      <c r="D13" s="10"/>
      <c r="E13" s="10" t="str">
        <f>'Cover page'!C10</f>
        <v>+48 575 835 862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2" t="s">
        <v>120</v>
      </c>
      <c r="AO14" s="10"/>
      <c r="AP14" s="10"/>
    </row>
    <row r="15" spans="1:4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2" t="str">
        <f>'Cover page'!C20</f>
        <v>Yaounde</v>
      </c>
      <c r="AO15" s="10"/>
      <c r="AP15" s="10"/>
    </row>
    <row r="16" spans="1:4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2" t="str">
        <f>'Cover page'!C21</f>
        <v>Rue 1381,Nouvelle Route Bastos</v>
      </c>
      <c r="AO16" s="10"/>
      <c r="AP16" s="10"/>
    </row>
    <row r="17" spans="1:4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2"/>
      <c r="AO17" s="10"/>
      <c r="AP17" s="10"/>
    </row>
    <row r="18" spans="1:4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spans="1:42">
      <c r="A19" s="10"/>
      <c r="B19" s="10"/>
      <c r="C19" s="21" t="s">
        <v>103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>
      <c r="A20" s="10"/>
      <c r="B20" s="10"/>
      <c r="C20" s="10" t="s">
        <v>133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3" t="str">
        <f>'Cover page'!C15</f>
        <v xml:space="preserve">Cyrille Njowo Nana </v>
      </c>
      <c r="O20" s="13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>
      <c r="A21" s="10"/>
      <c r="B21" s="10"/>
      <c r="C21" s="10" t="s">
        <v>134</v>
      </c>
      <c r="D21" s="10"/>
      <c r="E21" s="10"/>
      <c r="F21" s="10"/>
      <c r="G21" s="10"/>
      <c r="H21" s="10"/>
      <c r="I21" s="10"/>
      <c r="J21" s="10"/>
      <c r="K21" s="10"/>
      <c r="L21" s="13" t="str">
        <f>'Cover page'!C18</f>
        <v>Cameroonian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>
      <c r="A22" s="10"/>
      <c r="B22" s="10"/>
      <c r="C22" s="10" t="s">
        <v>104</v>
      </c>
      <c r="D22" s="10"/>
      <c r="E22" s="10"/>
      <c r="F22" s="10"/>
      <c r="G22" s="10"/>
      <c r="H22" s="10"/>
      <c r="I22" s="10"/>
      <c r="J22" s="10"/>
      <c r="K22" s="10"/>
      <c r="L22" s="10"/>
      <c r="M22" s="13">
        <f>'Cover page'!C16</f>
        <v>1037786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19.95" customHeight="1">
      <c r="A24" s="10"/>
      <c r="B24" s="38" t="s">
        <v>136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10"/>
    </row>
    <row r="25" spans="1:42" ht="19.9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9.95" customHeight="1">
      <c r="A26" s="10"/>
      <c r="B26" s="11" t="s">
        <v>122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9.9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9.95" customHeight="1">
      <c r="A28" s="10"/>
      <c r="B28"/>
      <c r="C28"/>
      <c r="D28" t="s">
        <v>135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 s="10"/>
    </row>
    <row r="29" spans="1:42" ht="19.95" customHeight="1">
      <c r="A29" s="10"/>
      <c r="B29" t="s">
        <v>137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 s="10"/>
    </row>
    <row r="30" spans="1:42" ht="19.95" customHeight="1">
      <c r="A30" s="10"/>
      <c r="B30" t="s">
        <v>138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s="10"/>
    </row>
    <row r="31" spans="1:42" ht="19.95" customHeight="1">
      <c r="A31" s="10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 s="10"/>
    </row>
    <row r="32" spans="1:42" ht="19.95" customHeight="1">
      <c r="A32" s="10"/>
      <c r="B32" t="s">
        <v>105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 s="66" t="str">
        <f>'Cover page'!C25</f>
        <v>ul Nowa 5a/2, 55-080 Pietrzykowice</v>
      </c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/>
      <c r="AP32" s="10"/>
    </row>
    <row r="33" spans="1:42" ht="19.95" customHeight="1">
      <c r="A33" s="10"/>
      <c r="B33" t="s">
        <v>139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 s="10"/>
    </row>
    <row r="34" spans="1:42" ht="19.95" customHeight="1">
      <c r="A34" s="10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 s="10"/>
    </row>
    <row r="35" spans="1:42" ht="19.95" customHeight="1">
      <c r="A35" s="10"/>
      <c r="B35" t="s">
        <v>140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 s="66" t="str">
        <f>'Cover page'!C10</f>
        <v>+48 575 835 862</v>
      </c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/>
      <c r="AP35" s="10"/>
    </row>
    <row r="36" spans="1:42" ht="19.9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1:42" ht="19.95" customHeight="1">
      <c r="A37" s="10"/>
      <c r="B37" s="38" t="s">
        <v>113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10"/>
    </row>
    <row r="38" spans="1:42" ht="19.9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1:42" ht="19.95" customHeight="1">
      <c r="A39" s="10"/>
      <c r="B39" s="11" t="s">
        <v>106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1:42" ht="19.95" customHeight="1">
      <c r="A40" s="10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10"/>
    </row>
    <row r="41" spans="1:42" ht="19.95" customHeight="1">
      <c r="A41" s="10"/>
      <c r="B41" s="25"/>
      <c r="C41" s="25"/>
      <c r="D41" s="25" t="s">
        <v>107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10"/>
    </row>
    <row r="42" spans="1:42" ht="19.95" customHeight="1">
      <c r="A42" s="10"/>
      <c r="B42" s="25" t="s">
        <v>108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10"/>
    </row>
    <row r="43" spans="1:42" ht="19.95" customHeight="1">
      <c r="A43" s="10"/>
      <c r="B43" s="25" t="s">
        <v>109</v>
      </c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10"/>
    </row>
    <row r="44" spans="1:42" ht="19.95" customHeight="1">
      <c r="A44" s="10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10"/>
    </row>
    <row r="45" spans="1:42" ht="19.95" customHeight="1">
      <c r="A45" s="10"/>
      <c r="B45" s="25" t="s">
        <v>110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66" t="str">
        <f>'Cover page'!C25</f>
        <v>ul Nowa 5a/2, 55-080 Pietrzykowice</v>
      </c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25"/>
      <c r="AP45" s="10"/>
    </row>
    <row r="46" spans="1:42" ht="19.95" customHeight="1">
      <c r="A46" s="10"/>
      <c r="B46" s="25" t="s">
        <v>111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10"/>
    </row>
    <row r="47" spans="1:42" ht="19.95" customHeight="1">
      <c r="A47" s="10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10"/>
    </row>
    <row r="48" spans="1:42" ht="19.95" customHeight="1">
      <c r="A48" s="10"/>
      <c r="B48" s="25" t="s">
        <v>112</v>
      </c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66" t="str">
        <f>'Cover page'!C10</f>
        <v>+48 575 835 862</v>
      </c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25"/>
      <c r="AP48" s="10"/>
    </row>
    <row r="49" spans="1:4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2" t="s">
        <v>2</v>
      </c>
      <c r="AO50" s="10"/>
      <c r="AP50" s="10"/>
    </row>
    <row r="51" spans="1:4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1"/>
      <c r="AO51" s="10"/>
      <c r="AP51" s="10"/>
    </row>
    <row r="52" spans="1:4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2" t="s">
        <v>1</v>
      </c>
      <c r="AO52" s="10"/>
      <c r="AP52" s="10"/>
    </row>
    <row r="53" spans="1:4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  <row r="54" spans="1:4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</row>
    <row r="55" spans="1:4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</row>
    <row r="56" spans="1:4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</row>
    <row r="57" spans="1:4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</row>
  </sheetData>
  <sheetProtection formatCells="0" formatColumns="0" formatRows="0" insertColumns="0" insertRows="0" insertHyperlinks="0" deleteColumns="0" deleteRows="0" sort="0" autoFilter="0" pivotTables="0"/>
  <mergeCells count="7">
    <mergeCell ref="U45:AN45"/>
    <mergeCell ref="Q48:AN48"/>
    <mergeCell ref="B37:AO37"/>
    <mergeCell ref="AG7:AM7"/>
    <mergeCell ref="B24:AO24"/>
    <mergeCell ref="S32:AN32"/>
    <mergeCell ref="Q35:AN35"/>
  </mergeCells>
  <phoneticPr fontId="1" type="noConversion"/>
  <printOptions horizontalCentered="1"/>
  <pageMargins left="0.7" right="0.7" top="0.75" bottom="0.75" header="0.3" footer="0.3"/>
  <pageSetup paperSize="9" scale="71" fitToHeight="0" orientation="portrait" r:id="rId1"/>
  <headerFooter>
    <oddFooter>&amp;Chutengroup&amp;RVisa support document_Ver1.0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FF44-E4A9-4AAF-B6C8-8F88E7B8E02A}">
  <sheetPr>
    <pageSetUpPr fitToPage="1"/>
  </sheetPr>
  <dimension ref="A1:AP53"/>
  <sheetViews>
    <sheetView showGridLines="0" view="pageBreakPreview" topLeftCell="A22" zoomScaleNormal="100" zoomScaleSheetLayoutView="100" workbookViewId="0">
      <selection activeCell="M40" sqref="M40"/>
    </sheetView>
  </sheetViews>
  <sheetFormatPr defaultColWidth="8.69921875" defaultRowHeight="15.6"/>
  <cols>
    <col min="1" max="1" width="8.69921875" style="17"/>
    <col min="2" max="41" width="2.796875" style="17" customWidth="1"/>
    <col min="42" max="259" width="2.59765625" style="17" customWidth="1"/>
    <col min="260" max="16384" width="8.69921875" style="17"/>
  </cols>
  <sheetData>
    <row r="1" spans="1:4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 spans="1:4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</row>
    <row r="3" spans="1:4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</row>
    <row r="4" spans="1:4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</row>
    <row r="5" spans="1:4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</row>
    <row r="6" spans="1:4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spans="1:42" ht="16.95" customHeight="1">
      <c r="A7" s="10"/>
      <c r="B7" s="11" t="str">
        <f>'Cover page'!C4</f>
        <v>ILNEDA sp.z o.o.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67">
        <f>'Cover page'!C13</f>
        <v>44565</v>
      </c>
      <c r="AH7" s="67"/>
      <c r="AI7" s="67"/>
      <c r="AJ7" s="67"/>
      <c r="AK7" s="67"/>
      <c r="AL7" s="67"/>
      <c r="AM7" s="67"/>
      <c r="AN7" s="10"/>
      <c r="AO7" s="10"/>
      <c r="AP7" s="10"/>
    </row>
    <row r="8" spans="1:42">
      <c r="A8" s="10"/>
      <c r="B8" s="10" t="str">
        <f>'Cover page'!C5</f>
        <v>Stanisława Dubois 36,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2">
      <c r="A9" s="10"/>
      <c r="B9" s="10" t="str">
        <f>'Cover page'!C6</f>
        <v>44-100 Gliwice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</row>
    <row r="10" spans="1:42">
      <c r="A10" s="10"/>
      <c r="B10" s="11" t="s">
        <v>32</v>
      </c>
      <c r="C10" s="10"/>
      <c r="D10" s="10"/>
      <c r="E10" s="10" t="str">
        <f>'Cover page'!C9</f>
        <v>631-269-93-90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</row>
    <row r="11" spans="1:42">
      <c r="A11" s="10"/>
      <c r="B11" s="11" t="s">
        <v>33</v>
      </c>
      <c r="C11" s="10"/>
      <c r="D11" s="10"/>
      <c r="E11" s="10" t="str">
        <f>'Cover page'!C8</f>
        <v>389804151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1:42">
      <c r="A12" s="10"/>
      <c r="B12" s="11" t="s">
        <v>34</v>
      </c>
      <c r="C12" s="10"/>
      <c r="D12" s="10"/>
      <c r="E12" s="10" t="str">
        <f>'Cover page'!C7</f>
        <v>918940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spans="1:42">
      <c r="A13" s="10"/>
      <c r="B13" s="11" t="s">
        <v>35</v>
      </c>
      <c r="C13" s="10"/>
      <c r="D13" s="10"/>
      <c r="E13" s="10" t="str">
        <f>'Cover page'!C10</f>
        <v>+48 575 835 862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2" t="s">
        <v>120</v>
      </c>
      <c r="AO14" s="10"/>
      <c r="AP14" s="10"/>
    </row>
    <row r="15" spans="1:4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2" t="str">
        <f>'Cover page'!C20</f>
        <v>Yaounde</v>
      </c>
      <c r="AO15" s="10"/>
      <c r="AP15" s="10"/>
    </row>
    <row r="16" spans="1:4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2" t="str">
        <f>'Cover page'!C21</f>
        <v>Rue 1381,Nouvelle Route Bastos</v>
      </c>
      <c r="AO16" s="10"/>
      <c r="AP16" s="10"/>
    </row>
    <row r="17" spans="1:4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2"/>
      <c r="AO17" s="10"/>
      <c r="AP17" s="10"/>
    </row>
    <row r="18" spans="1:4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spans="1:42">
      <c r="A19" s="10"/>
      <c r="B19" s="10"/>
      <c r="C19" s="21" t="s">
        <v>103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</row>
    <row r="20" spans="1:42">
      <c r="A20" s="10"/>
      <c r="B20" s="10"/>
      <c r="C20" s="10" t="s">
        <v>133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3" t="str">
        <f>'Cover page'!C15</f>
        <v xml:space="preserve">Cyrille Njowo Nana </v>
      </c>
      <c r="O20" s="13"/>
      <c r="P20" s="10"/>
      <c r="Q20" s="3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</row>
    <row r="21" spans="1:42">
      <c r="A21" s="10"/>
      <c r="B21" s="10"/>
      <c r="C21" s="10" t="s">
        <v>134</v>
      </c>
      <c r="D21" s="10"/>
      <c r="E21" s="10"/>
      <c r="F21" s="10"/>
      <c r="G21" s="10"/>
      <c r="H21" s="10"/>
      <c r="I21" s="10"/>
      <c r="J21" s="10"/>
      <c r="K21" s="10"/>
      <c r="L21" s="13" t="str">
        <f>'Cover page'!C18</f>
        <v>Cameroonian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spans="1:42">
      <c r="A22" s="10"/>
      <c r="B22" s="10"/>
      <c r="C22" s="10" t="s">
        <v>104</v>
      </c>
      <c r="D22" s="10"/>
      <c r="E22" s="10"/>
      <c r="F22" s="10"/>
      <c r="G22" s="10"/>
      <c r="H22" s="10"/>
      <c r="I22" s="10"/>
      <c r="J22" s="10"/>
      <c r="K22" s="10"/>
      <c r="L22" s="10"/>
      <c r="M22" s="13">
        <f>'Cover page'!C16</f>
        <v>1037786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spans="1:4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spans="1:42" ht="40.049999999999997" customHeight="1">
      <c r="A24" s="10"/>
      <c r="B24" s="68" t="s">
        <v>114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10"/>
    </row>
    <row r="25" spans="1:42" ht="19.9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</row>
    <row r="26" spans="1:42" ht="19.95" customHeight="1">
      <c r="A26" s="10"/>
      <c r="B26" s="11" t="s">
        <v>122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</row>
    <row r="27" spans="1:42" ht="19.9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</row>
    <row r="28" spans="1:42" ht="19.95" customHeight="1">
      <c r="A28" s="10"/>
      <c r="B28" s="8"/>
      <c r="C28" s="8"/>
      <c r="D28" s="8" t="s">
        <v>141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69" t="str">
        <f>'Cover page'!C18</f>
        <v>Cameroonian</v>
      </c>
      <c r="X28" s="69"/>
      <c r="Y28" s="69"/>
      <c r="Z28" s="69"/>
      <c r="AA28" s="69"/>
      <c r="AB28" s="69"/>
      <c r="AC28" s="69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10"/>
    </row>
    <row r="29" spans="1:42" ht="19.95" customHeight="1">
      <c r="A29" s="10"/>
      <c r="B29" s="26"/>
      <c r="C29" s="26"/>
      <c r="D29" s="8" t="s">
        <v>115</v>
      </c>
      <c r="E29" s="26"/>
      <c r="F29" s="26"/>
      <c r="G29" s="26"/>
      <c r="H29" s="26"/>
      <c r="I29" s="26"/>
      <c r="J29" s="26"/>
      <c r="K29" s="26"/>
      <c r="L29" s="26"/>
      <c r="M29" s="26" t="str">
        <f>'Cover page'!C15</f>
        <v xml:space="preserve">Cyrille Njowo Nana 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10"/>
    </row>
    <row r="30" spans="1:42" ht="19.95" customHeight="1">
      <c r="A30" s="10"/>
      <c r="B30" s="8"/>
      <c r="C30" s="8"/>
      <c r="D30" s="8" t="s">
        <v>142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27">
        <f>'Cover page'!C16</f>
        <v>1037786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10"/>
    </row>
    <row r="31" spans="1:42" ht="19.95" customHeight="1">
      <c r="A31" s="10"/>
      <c r="B31" s="8"/>
      <c r="C31" s="8"/>
      <c r="D31" s="8" t="s">
        <v>143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10"/>
    </row>
    <row r="32" spans="1:42" ht="19.95" customHeight="1">
      <c r="A32" s="10"/>
      <c r="B32" s="8"/>
      <c r="C32" s="8"/>
      <c r="D32" s="27" t="str">
        <f>'Cover page'!C25</f>
        <v>ul Nowa 5a/2, 55-080 Pietrzykowice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10"/>
    </row>
    <row r="33" spans="1:42" ht="19.95" customHeight="1">
      <c r="A33" s="10"/>
      <c r="B33" s="8"/>
      <c r="C33" s="8"/>
      <c r="D33" s="2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10"/>
    </row>
    <row r="34" spans="1:42" ht="19.95" customHeight="1">
      <c r="A34" s="10"/>
      <c r="B34" s="11" t="s">
        <v>106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9.95" customHeight="1">
      <c r="A35" s="10"/>
      <c r="B35" s="8"/>
      <c r="C35" s="8"/>
      <c r="D35" s="28" t="s">
        <v>116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/>
      <c r="X35" s="8"/>
      <c r="Y35" s="31" t="str">
        <f>'Cover page'!C18</f>
        <v>Cameroonian</v>
      </c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10"/>
    </row>
    <row r="36" spans="1:42" ht="19.95" customHeight="1">
      <c r="A36" s="10"/>
      <c r="B36" s="8"/>
      <c r="C36" s="8"/>
      <c r="D36" s="28" t="s">
        <v>117</v>
      </c>
      <c r="E36" s="8"/>
      <c r="F36" s="8"/>
      <c r="G36" s="8"/>
      <c r="H36" s="8"/>
      <c r="I36" s="8"/>
      <c r="J36" s="8"/>
      <c r="K36" s="27" t="str">
        <f>'Cover page'!C15</f>
        <v xml:space="preserve">Cyrille Njowo Nana 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10"/>
    </row>
    <row r="37" spans="1:42" ht="19.95" customHeight="1">
      <c r="A37" s="10"/>
      <c r="B37" s="8"/>
      <c r="C37" s="8"/>
      <c r="D37" s="29" t="s">
        <v>118</v>
      </c>
      <c r="E37" s="8"/>
      <c r="F37" s="8"/>
      <c r="G37" s="8"/>
      <c r="H37" s="8"/>
      <c r="I37" s="8"/>
      <c r="J37" s="27">
        <f>'Cover page'!C16</f>
        <v>1037786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10"/>
    </row>
    <row r="38" spans="1:42" ht="19.95" customHeight="1">
      <c r="A38" s="10"/>
      <c r="B38" s="8"/>
      <c r="C38" s="8"/>
      <c r="D38" s="29" t="s">
        <v>119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69" t="str">
        <f>'Cover page'!C25</f>
        <v>ul Nowa 5a/2, 55-080 Pietrzykowice</v>
      </c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8"/>
      <c r="AP38" s="10"/>
    </row>
    <row r="39" spans="1:42" ht="19.95" customHeight="1">
      <c r="A39" s="10"/>
      <c r="B39" s="8"/>
      <c r="C39" s="8"/>
      <c r="D39" s="2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10"/>
    </row>
    <row r="40" spans="1:42" ht="19.95" customHeight="1">
      <c r="A40" s="10"/>
      <c r="B40" s="8"/>
      <c r="C40" s="8"/>
      <c r="D40" s="27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10"/>
    </row>
    <row r="41" spans="1:42" ht="19.95" customHeight="1">
      <c r="A41" s="10"/>
      <c r="B41" s="8"/>
      <c r="C41" s="8"/>
      <c r="D41" s="27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10"/>
    </row>
    <row r="42" spans="1:42" ht="19.95" customHeight="1">
      <c r="A42" s="10"/>
      <c r="B42" s="8"/>
      <c r="C42" s="8"/>
      <c r="D42" s="2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10"/>
    </row>
    <row r="43" spans="1:42" ht="19.95" customHeight="1">
      <c r="A43" s="10"/>
      <c r="B43" s="8"/>
      <c r="C43" s="8"/>
      <c r="D43" s="2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10"/>
    </row>
    <row r="44" spans="1:42" ht="19.95" customHeight="1">
      <c r="A44" s="10"/>
      <c r="B44" s="8"/>
      <c r="C44" s="8"/>
      <c r="D44" s="27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10"/>
    </row>
    <row r="45" spans="1:42" ht="19.95" customHeight="1">
      <c r="A45" s="10"/>
      <c r="B45" s="8"/>
      <c r="C45" s="8"/>
      <c r="D45" s="27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10"/>
    </row>
    <row r="46" spans="1:4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2" t="s">
        <v>2</v>
      </c>
      <c r="AO46" s="10"/>
      <c r="AP46" s="10"/>
    </row>
    <row r="47" spans="1:4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1"/>
      <c r="AO47" s="10"/>
      <c r="AP47" s="10"/>
    </row>
    <row r="48" spans="1:4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2" t="s">
        <v>1</v>
      </c>
      <c r="AO48" s="10"/>
      <c r="AP48" s="10"/>
    </row>
    <row r="49" spans="1:4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</row>
    <row r="50" spans="1:4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</row>
    <row r="51" spans="1:4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</row>
    <row r="52" spans="1:4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</row>
    <row r="53" spans="1:4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</row>
  </sheetData>
  <sheetProtection formatCells="0" formatColumns="0" formatRows="0" insertColumns="0" insertRows="0" insertHyperlinks="0" deleteColumns="0" deleteRows="0" sort="0" autoFilter="0" pivotTables="0"/>
  <mergeCells count="4">
    <mergeCell ref="AG7:AM7"/>
    <mergeCell ref="B24:AO24"/>
    <mergeCell ref="W28:AC28"/>
    <mergeCell ref="P38:AN38"/>
  </mergeCells>
  <phoneticPr fontId="1" type="noConversion"/>
  <printOptions horizontalCentered="1"/>
  <pageMargins left="0.7" right="0.7" top="0.75" bottom="0.75" header="0.3" footer="0.3"/>
  <pageSetup paperSize="9" scale="71" fitToHeight="0" orientation="portrait" r:id="rId1"/>
  <headerFooter>
    <oddFooter>&amp;Chutengroup&amp;RVisa support document_Ver1.0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Cover page</vt:lpstr>
      <vt:lpstr>Applications</vt:lpstr>
      <vt:lpstr>Letter of employment</vt:lpstr>
      <vt:lpstr>Mandatory Quarantine</vt:lpstr>
      <vt:lpstr>Confirmation of accommodation</vt:lpstr>
      <vt:lpstr>Applications!Print_Area</vt:lpstr>
      <vt:lpstr>'Confirmation of accommodation'!Print_Area</vt:lpstr>
      <vt:lpstr>'Letter of employment'!Print_Area</vt:lpstr>
      <vt:lpstr>'Mandatory Quarantine'!Print_Area</vt:lpstr>
      <vt:lpstr>'Letter of employment'!Print_Titles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HUTEN-01</dc:creator>
  <cp:lastModifiedBy>HUTEN11</cp:lastModifiedBy>
  <cp:lastPrinted>2022-03-23T15:06:16Z</cp:lastPrinted>
  <dcterms:created xsi:type="dcterms:W3CDTF">2022-03-22T13:23:12Z</dcterms:created>
  <dcterms:modified xsi:type="dcterms:W3CDTF">2022-04-01T13:42:48Z</dcterms:modified>
</cp:coreProperties>
</file>